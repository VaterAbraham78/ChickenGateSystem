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1aac5d43cf7ca31/Dokumente/_NEPTUN__SyncNP3/GitHubRepositorys/ChickenGateSystem/Unterlagen/"/>
    </mc:Choice>
  </mc:AlternateContent>
  <xr:revisionPtr revIDLastSave="71" documentId="13_ncr:1_{315754E0-5574-4A94-84BE-B6C92B608102}" xr6:coauthVersionLast="47" xr6:coauthVersionMax="47" xr10:uidLastSave="{3A5C070D-D346-4620-AE73-CB7E155E4D93}"/>
  <bookViews>
    <workbookView xWindow="-110" yWindow="-110" windowWidth="25820" windowHeight="13900" xr2:uid="{00000000-000D-0000-FFFF-FFFF00000000}"/>
  </bookViews>
  <sheets>
    <sheet name="Stückliste" sheetId="1" r:id="rId1"/>
  </sheets>
  <definedNames>
    <definedName name="_A100000">Stückliste!$A$9507</definedName>
    <definedName name="_xlnm._FilterDatabase" localSheetId="0" hidden="1">Stückliste!$A$5:$J$70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7" i="1" l="1"/>
  <c r="I41" i="1"/>
  <c r="I18" i="1"/>
  <c r="I35" i="1"/>
  <c r="I34" i="1"/>
  <c r="I29" i="1"/>
  <c r="I38" i="1"/>
  <c r="I49" i="1"/>
  <c r="I47" i="1"/>
  <c r="I46" i="1"/>
  <c r="I26" i="1"/>
  <c r="I52" i="1"/>
  <c r="I53" i="1"/>
  <c r="I44" i="1"/>
  <c r="I31" i="1"/>
  <c r="I64" i="1"/>
  <c r="I63" i="1"/>
  <c r="I51" i="1"/>
  <c r="I50" i="1"/>
  <c r="I11" i="1" l="1"/>
  <c r="I12" i="1"/>
  <c r="I13" i="1"/>
  <c r="I14" i="1"/>
  <c r="I15" i="1"/>
  <c r="I16" i="1"/>
  <c r="I19" i="1"/>
  <c r="I20" i="1"/>
  <c r="I21" i="1"/>
  <c r="I22" i="1"/>
  <c r="I23" i="1"/>
  <c r="I24" i="1"/>
  <c r="I25" i="1"/>
  <c r="I27" i="1"/>
  <c r="I28" i="1"/>
  <c r="I30" i="1"/>
  <c r="I32" i="1"/>
  <c r="I33" i="1"/>
  <c r="I36" i="1"/>
  <c r="I37" i="1"/>
  <c r="I39" i="1"/>
  <c r="I40" i="1"/>
  <c r="I42" i="1"/>
  <c r="I43" i="1"/>
  <c r="I45" i="1"/>
  <c r="I48" i="1"/>
  <c r="I56" i="1"/>
  <c r="I54" i="1"/>
  <c r="I55" i="1"/>
  <c r="I57" i="1"/>
  <c r="I58" i="1"/>
  <c r="I59" i="1"/>
  <c r="I60" i="1"/>
  <c r="I61" i="1"/>
  <c r="I62" i="1"/>
  <c r="I65" i="1"/>
  <c r="I66" i="1"/>
  <c r="I67" i="1"/>
  <c r="I68" i="1"/>
  <c r="I10" i="1" l="1"/>
  <c r="I9" i="1"/>
  <c r="I69" i="1" l="1"/>
</calcChain>
</file>

<file path=xl/sharedStrings.xml><?xml version="1.0" encoding="utf-8"?>
<sst xmlns="http://schemas.openxmlformats.org/spreadsheetml/2006/main" count="395" uniqueCount="248">
  <si>
    <t>Art.-Nr.</t>
  </si>
  <si>
    <t>Distrelec</t>
  </si>
  <si>
    <t>Anzahl Soll</t>
  </si>
  <si>
    <t>Typen-Bezeichnung</t>
  </si>
  <si>
    <t>Bauteil</t>
  </si>
  <si>
    <t>Einbauort</t>
  </si>
  <si>
    <t>---</t>
  </si>
  <si>
    <t>Phönix Contact</t>
  </si>
  <si>
    <t>Hersteller</t>
  </si>
  <si>
    <t>Lieferant</t>
  </si>
  <si>
    <t>Swibox</t>
  </si>
  <si>
    <t xml:space="preserve">  Wandbefestigungslaschen</t>
  </si>
  <si>
    <t>Einzelpreis</t>
  </si>
  <si>
    <t>Total</t>
  </si>
  <si>
    <t>TOTAL</t>
  </si>
  <si>
    <t xml:space="preserve">  Kabeleinführung - Kabelverschraubung M16</t>
  </si>
  <si>
    <t>Jacob</t>
  </si>
  <si>
    <t>155-19-011</t>
  </si>
  <si>
    <t>Kabelverschraubung  3...10mm  /  M16*1,5</t>
  </si>
  <si>
    <t>Haupt-Steuereinheit  [HST-Main]:</t>
  </si>
  <si>
    <t>Gehäuse Steuerschrank  /  175*250*100</t>
  </si>
  <si>
    <t>Polycarbonat-Gehäuse / 175*250*100 / grauer Deckel / mit Einführungen</t>
  </si>
  <si>
    <t>SPCM182510T</t>
  </si>
  <si>
    <t xml:space="preserve">  Scharniersatz</t>
  </si>
  <si>
    <t>Scharniersatz / zu "Cubo D/S"</t>
  </si>
  <si>
    <t>DSHI1</t>
  </si>
  <si>
    <t>Wandbefestigungslasche / zu "Cubo S"</t>
  </si>
  <si>
    <t>SFL1</t>
  </si>
  <si>
    <t>Atmega-Mikrocontroller</t>
  </si>
  <si>
    <t xml:space="preserve">  Werkzeug zu Mikrocontroller</t>
  </si>
  <si>
    <t xml:space="preserve">  DIL-Sockel 28-polig</t>
  </si>
  <si>
    <t>Arduino</t>
  </si>
  <si>
    <t>Aries</t>
  </si>
  <si>
    <t>TE-Connectivity</t>
  </si>
  <si>
    <t>Farnell</t>
  </si>
  <si>
    <t>T-90 Ausziehwerkzeug, IC-Entfernung</t>
  </si>
  <si>
    <t>IC-Sockel, 28 Kontakte, 2.54 mm, 7.62 mm, Phosphorbronze</t>
  </si>
  <si>
    <t xml:space="preserve">  Quarz 16MHz</t>
  </si>
  <si>
    <t>ECS International</t>
  </si>
  <si>
    <t>KEMET</t>
  </si>
  <si>
    <t>Quarz, 16 MHz, Durchsteckmontage, 10 ppm, 18 pF</t>
  </si>
  <si>
    <t xml:space="preserve">  Taster 1-polig</t>
  </si>
  <si>
    <t>Vishay</t>
  </si>
  <si>
    <t>Omron</t>
  </si>
  <si>
    <t>Kurzhubtaster , 1 Schliesser, 2.55N, 6 x 6mm</t>
  </si>
  <si>
    <t>Typennummer</t>
  </si>
  <si>
    <t>X000048</t>
  </si>
  <si>
    <t>T-90</t>
  </si>
  <si>
    <t>1-2199298-9</t>
  </si>
  <si>
    <t>ECS-160-18-4X-CKM</t>
  </si>
  <si>
    <t>MBB02070C1002FCT00</t>
  </si>
  <si>
    <t>B3F1005</t>
  </si>
  <si>
    <t>Anschlussblock 2-polig / Gerätebuchse</t>
  </si>
  <si>
    <t>Mouser</t>
  </si>
  <si>
    <t>651-1803426</t>
  </si>
  <si>
    <t>Steckbare Anschlussblöcke 2 Pos 3.81mm pitch Through Hole Header</t>
  </si>
  <si>
    <t xml:space="preserve">  Anschlussstecker 2-polig / Kabelstecker</t>
  </si>
  <si>
    <t>651-1745894</t>
  </si>
  <si>
    <t>Steckbare Anschlussblöcke 2 Pos 3.81mm pitch Plug Spring</t>
  </si>
  <si>
    <t>Anschlussblock 4-polig / Gerätebuchse</t>
  </si>
  <si>
    <t xml:space="preserve">  Anschlussstecker 4-polig / Kabelstecker</t>
  </si>
  <si>
    <t>651-1803442</t>
  </si>
  <si>
    <t>Steckbare Anschlussblöcke 4 Pos 3.81mm pitch Through Hole Header</t>
  </si>
  <si>
    <t>Steckbare Anschlussblöcke 4 Pos 3.81mm pitch Plug Spring</t>
  </si>
  <si>
    <t>651-1745917</t>
  </si>
  <si>
    <t>Anschlussblock 6-polig / Gerätebuchse</t>
  </si>
  <si>
    <t xml:space="preserve">  Anschlussstecker 6-polig / Kabelstecker</t>
  </si>
  <si>
    <t>Steckbare Anschlussblöcke 6 Pos 3.81mm pitch Through Hole Header</t>
  </si>
  <si>
    <t>Steckbare Anschlussblöcke 6 Pos 3.81mm pitch Plug Spring</t>
  </si>
  <si>
    <t>651-1748011</t>
  </si>
  <si>
    <t>651-1803468</t>
  </si>
  <si>
    <t>535-T-90</t>
  </si>
  <si>
    <t>571-1-2199298-9</t>
  </si>
  <si>
    <t>520-ECS160-18-4X-CKM</t>
  </si>
  <si>
    <t>653-B3F-1005</t>
  </si>
  <si>
    <t>Stromversorgung 5VDC</t>
  </si>
  <si>
    <t>Traco-Power</t>
  </si>
  <si>
    <t>TSR 1-2450</t>
  </si>
  <si>
    <t>495-TSR-1-2450</t>
  </si>
  <si>
    <t>Littelfuse</t>
  </si>
  <si>
    <t xml:space="preserve">  Sicherungshalter für Radialsicherungen</t>
  </si>
  <si>
    <t xml:space="preserve">  Sicherungseinsatz  /  0,5A</t>
  </si>
  <si>
    <t>Bistabiles Relais  /  2-polig  /  12VDC</t>
  </si>
  <si>
    <t>RT424F12</t>
  </si>
  <si>
    <t>655-RT424F12</t>
  </si>
  <si>
    <t>301-01-974</t>
  </si>
  <si>
    <t>Relais / 2-Wechsler / Bistabil / 2-Spulen / 12VDC</t>
  </si>
  <si>
    <t>Stückliste Torsteuerung HUEST V3.0</t>
  </si>
  <si>
    <t>ATmega328 mit Arduino Bootloader  /  ATMEGA328P-PN</t>
  </si>
  <si>
    <t>Anschlussblock 2-polig / Gerätebuchse  /  Raster 5.08mm</t>
  </si>
  <si>
    <t xml:space="preserve">  Anschlussstecker 2-polig / Kabelstecker  /  Raster 5.08mm</t>
  </si>
  <si>
    <t>Anschlussblock 4-polig / Gerätebuchse  /  Raster 5.08mm</t>
  </si>
  <si>
    <t xml:space="preserve">  Anschlussstecker 4-polig / Kabelstecker  /  Raster 5.08mm</t>
  </si>
  <si>
    <t>Steckbare Anschlussblöcke 2 Pos 5.08mm pitch Through Hole Header</t>
  </si>
  <si>
    <t>Steckbare Anschlussblöcke 4 Pos 5.08mm pitch Plug Spring</t>
  </si>
  <si>
    <t>Steckbare Anschlussblöcke 4 Pos 5.08mm pitch Through Hole Header</t>
  </si>
  <si>
    <t>Steckbare Anschlussblöcke 2 Pos 5.08mm pitch Plug Spring</t>
  </si>
  <si>
    <t>DC/DC-Wandler, ITE, 1 Ausgang, 5 W, 5 V, 1 A, TSR 1 Series</t>
  </si>
  <si>
    <t>DC/DC-Wandler, ITE, 1 Ausgang, 5 W, 5 V, 1 A</t>
  </si>
  <si>
    <t>LITTELFUSE</t>
  </si>
  <si>
    <t>Panasonic</t>
  </si>
  <si>
    <t>Elektrolytkondensator, 100 µF, 50 V, ±20%, Radial, 6000 Stunden/105°C</t>
  </si>
  <si>
    <t>MBB02070C2201FCT00</t>
  </si>
  <si>
    <t>MBB02070C1101FCT00</t>
  </si>
  <si>
    <t>P6KE18A</t>
  </si>
  <si>
    <t>TVS-Diode, P6KE, Unidirektional, 15.3 V, DO-204AC</t>
  </si>
  <si>
    <t>VISHAY</t>
  </si>
  <si>
    <t xml:space="preserve">  MOSFET zur Relaissteuerung</t>
  </si>
  <si>
    <t>Sicherungshalter, PCB, 1 Sicherung, 6.3A, 250V, TE5, TR5, THT</t>
  </si>
  <si>
    <t xml:space="preserve">  Sicherungseinsatz  /  2A  /  verzögert</t>
  </si>
  <si>
    <t>Bedrahtete PCB-Sicherung, 2 A, 250 V, TR5 372, Zeitverzögerung</t>
  </si>
  <si>
    <t>Bedrahtete PCB-Sicherung, 500 mA, 250 V, TR5 370 Series, Flink</t>
  </si>
  <si>
    <t>651-1754584</t>
  </si>
  <si>
    <t>651-1755736</t>
  </si>
  <si>
    <t>651-1754568</t>
  </si>
  <si>
    <t>651-1755752</t>
  </si>
  <si>
    <t>Monostabiles Relais  /  1-polig  /  5VDC</t>
  </si>
  <si>
    <t>Miniatur-Solid-State-Relais, OPT- 5DC/ 24DC/ 2</t>
  </si>
  <si>
    <t>651-2967989</t>
  </si>
  <si>
    <t>Diodes Incorporated</t>
  </si>
  <si>
    <t>ZVN4206A</t>
  </si>
  <si>
    <t>522-ZVN4206A</t>
  </si>
  <si>
    <t>Leistungs-MOSFET, n-Kanal, 60 V, 600 mA, 1 ohm, TO-92-3</t>
  </si>
  <si>
    <t xml:space="preserve">  Widerstand 100 Ohm</t>
  </si>
  <si>
    <t xml:space="preserve">  Widerstand 470 Ohm</t>
  </si>
  <si>
    <t xml:space="preserve">  Widerstand 1.1 kOhm</t>
  </si>
  <si>
    <t xml:space="preserve">  Widerstand 2.2 kOhm</t>
  </si>
  <si>
    <t xml:space="preserve">  Widerstand 10 kOhm</t>
  </si>
  <si>
    <t xml:space="preserve">  Widerstand 100 kOhm</t>
  </si>
  <si>
    <t xml:space="preserve">  Widerstand 200 kOhm</t>
  </si>
  <si>
    <t>MBB02070C1000FCT00</t>
  </si>
  <si>
    <t>MBB02070C4700FCT00</t>
  </si>
  <si>
    <t>MBB02070C1003FCT00</t>
  </si>
  <si>
    <t>MBB02070C2003FCT00</t>
  </si>
  <si>
    <t>Widerstand, 600mW, 100 Ohm, 1 %</t>
  </si>
  <si>
    <t>Widerstand, 600mW, 470 Ohm, 1 %</t>
  </si>
  <si>
    <t>Widerstand, 600mW, 1,1 kOhm, 1 %</t>
  </si>
  <si>
    <t>Widerstand, 600mW, 2,2 kOhm, 1 %</t>
  </si>
  <si>
    <t>Widerstand, 600mW, 10 kOhm, 1 %</t>
  </si>
  <si>
    <t>Widerstand, 600mW, 100 kOhm, 1 %</t>
  </si>
  <si>
    <t>Widerstand, 600mW,  200 kOhm, 1 %</t>
  </si>
  <si>
    <t>594-MBB02070C1000FCT</t>
  </si>
  <si>
    <t>594-MBB02070C4700FCT</t>
  </si>
  <si>
    <t>594-MBB02070C1101FCT</t>
  </si>
  <si>
    <t>594-MBB02070C2201FCT</t>
  </si>
  <si>
    <t>594-MBB02070C1002FCT</t>
  </si>
  <si>
    <t>594-MBB02070C1003FCT</t>
  </si>
  <si>
    <t>594-MBB02070C2003FCT</t>
  </si>
  <si>
    <t>209-VR10S05</t>
  </si>
  <si>
    <t>XP-Power</t>
  </si>
  <si>
    <t>VR10S05</t>
  </si>
  <si>
    <t>576-P6KE18A</t>
  </si>
  <si>
    <t xml:space="preserve">  TVS-Überspannungsdiode 15,3V</t>
  </si>
  <si>
    <t>667-EEU-FR1H101B</t>
  </si>
  <si>
    <t>576-55900000001</t>
  </si>
  <si>
    <t>BIVAR</t>
  </si>
  <si>
    <t>3HDL-F</t>
  </si>
  <si>
    <t>749-3HDL-F</t>
  </si>
  <si>
    <t>LED, Rot, Durchsteckmontage, T-1 3/4 (3mm), 2 mA, 2 V, 625 nm</t>
  </si>
  <si>
    <t>Keramikkondensator, 0.1 µF, 25 V, ±10%, Radial, X7R, 2.54 mm</t>
  </si>
  <si>
    <t>C320C104K3R5TA</t>
  </si>
  <si>
    <t>80-C320C104K3R5TA</t>
  </si>
  <si>
    <t>ECA-1EM220I</t>
  </si>
  <si>
    <t>667-ECA-1EM220I</t>
  </si>
  <si>
    <t>Elektrolytkondensator, 22 µF, 25 V, ±20%, Radial, 2000 Stunden/105°C</t>
  </si>
  <si>
    <t>637-1N4002</t>
  </si>
  <si>
    <t>1N4002</t>
  </si>
  <si>
    <t>Diotec Halbleiter</t>
  </si>
  <si>
    <t xml:space="preserve">  LED für Sicherung  /  rot  /  3 mm  /  3 mcd  /  r35°</t>
  </si>
  <si>
    <t>LDR-Lichtabhängiger Widerstand</t>
  </si>
  <si>
    <t>161 - CdS-Fotowiderstand, 5V</t>
  </si>
  <si>
    <t>301-39-054</t>
  </si>
  <si>
    <t>Leistungs-MOSFET, n-Kanal, 30 V, 60 A, 0.0087 ohm, TO-220AB</t>
  </si>
  <si>
    <t>485-355</t>
  </si>
  <si>
    <t>Adafruit</t>
  </si>
  <si>
    <t>Steckbare Anschlussblöcke 3 Pos 3.81mm pitch Through Hole Header</t>
  </si>
  <si>
    <t>Steckbare Anschlussblöcke 3 Pos 3.81mm pitch Plug Spring</t>
  </si>
  <si>
    <t>651-1745904</t>
  </si>
  <si>
    <t>651-1803439</t>
  </si>
  <si>
    <t>IQD</t>
  </si>
  <si>
    <t>LFXTAL027945</t>
  </si>
  <si>
    <t>449-LFXTAL027945REEL</t>
  </si>
  <si>
    <t>Quarz, 16 MHz, Durchsteckmontage, 30 ppm, 20 pF</t>
  </si>
  <si>
    <t xml:space="preserve">  Kondensator 30pF</t>
  </si>
  <si>
    <t>C315C300F3G5TA</t>
  </si>
  <si>
    <t>Keramikkondensator, 30 pF, 25 V, ±1%, Radial, GoldMax, 2.54 mm</t>
  </si>
  <si>
    <t>80-C315C300F3G5TA</t>
  </si>
  <si>
    <t xml:space="preserve">  Zenerdiode 5,1V</t>
  </si>
  <si>
    <t xml:space="preserve">  Zenerdiode 4,7V - Alternative</t>
  </si>
  <si>
    <t>BZX55B4V7-TAP</t>
  </si>
  <si>
    <t>Zener-Diode, 4.7 V, 500 mW, DO-35, ± 2%-Tolerance</t>
  </si>
  <si>
    <t>78-BZX55B4V7-TAP</t>
  </si>
  <si>
    <t>BZX55B5V1-TAP</t>
  </si>
  <si>
    <t>Zener-Diode, 5.1 V, 500 mW, DO-35, ± 2%-Tolerance</t>
  </si>
  <si>
    <t>78-BZX55B5V1-TAP</t>
  </si>
  <si>
    <t>Infineon Technologies</t>
  </si>
  <si>
    <t>IRLU024NPBF</t>
  </si>
  <si>
    <t>Leistungs-MOSFET, n-Kanal, 55 V, 17 A, 0.065 ohm, TO-251-3</t>
  </si>
  <si>
    <t>942-IRLU024NPBF</t>
  </si>
  <si>
    <t>355  (identisch zu IRLB8721)</t>
  </si>
  <si>
    <t xml:space="preserve">  MOSFET zur Leistungssteuerung</t>
  </si>
  <si>
    <t xml:space="preserve">  MOSFET zur Leistungssteuerung - Alternative</t>
  </si>
  <si>
    <t>Leistungs-MOSFET, n-Kanal, 55 V, 60 A, 0.0135 ohm, TO-251-3</t>
  </si>
  <si>
    <t>Reichelt</t>
  </si>
  <si>
    <t>IRLU2905ZPBF</t>
  </si>
  <si>
    <t>IRLU 2905Z</t>
  </si>
  <si>
    <t>Nextion</t>
  </si>
  <si>
    <t>NX3224T024</t>
  </si>
  <si>
    <t>Nextion 2.4 Zoll 320x240 TFT Touch Display   ( Alternativ   NX3224K028 )</t>
  </si>
  <si>
    <t>Mikroshop</t>
  </si>
  <si>
    <t>Touch-Display  /  2,4"</t>
  </si>
  <si>
    <t>1N4148</t>
  </si>
  <si>
    <t>637-1N4148</t>
  </si>
  <si>
    <t>Kleinsignaldiode, 75 V, 200mA, DO-35</t>
  </si>
  <si>
    <t>Kleinsignaldiode, 100 V, 1A, DO-35</t>
  </si>
  <si>
    <t xml:space="preserve">  Sperrdiode 100V   -   als Freilaufdiode</t>
  </si>
  <si>
    <t xml:space="preserve">  Sperrdiode 75V   -   für Sammelinterrupt</t>
  </si>
  <si>
    <t>LDR-Lichtabhängiger Widerstand   (identisch)</t>
  </si>
  <si>
    <t>Advanced Photonix</t>
  </si>
  <si>
    <t>PDV-P8001</t>
  </si>
  <si>
    <t>846-PDV-P8001</t>
  </si>
  <si>
    <t>Widerstand, 600mW, 4,7 kOhm, 1 %</t>
  </si>
  <si>
    <t>2485264-7</t>
  </si>
  <si>
    <t>IC-Sockel, 28 Kontakte, 2.54 mm, 7.62 mm, Goldkontakt</t>
  </si>
  <si>
    <t>571-2485264-7</t>
  </si>
  <si>
    <t>Widerstand, 600mW, 220 Ohm, 1 %</t>
  </si>
  <si>
    <t>MBB02070C2200FCT00</t>
  </si>
  <si>
    <t>594-MBB02070C2200FCT</t>
  </si>
  <si>
    <t>MBB02070C4701FCT00</t>
  </si>
  <si>
    <t>594-MBB02070C4701FCT</t>
  </si>
  <si>
    <t xml:space="preserve">  Widerstand 4.7 kOhm</t>
  </si>
  <si>
    <t xml:space="preserve">  Widerstand 220 Ohm</t>
  </si>
  <si>
    <t>MBB02070C4702FCT00</t>
  </si>
  <si>
    <t xml:space="preserve">  Widerstand 47 kOhm</t>
  </si>
  <si>
    <t>Widerstand, 600mW, 47 kOhm, 1 %</t>
  </si>
  <si>
    <t>594-MBB02070C4702FCT</t>
  </si>
  <si>
    <t>EEU-FR1H101B</t>
  </si>
  <si>
    <t xml:space="preserve">  Kondensator 100uF  / 50V  /  12DC-Versorgung - Elko</t>
  </si>
  <si>
    <t xml:space="preserve">  Kondensator 470uF  / 25V   /  5V-IC-Versorgung - Elko</t>
  </si>
  <si>
    <t xml:space="preserve">  Kondensator 100nF  / 25V  /  5V-IC-Versorgung - Keramik</t>
  </si>
  <si>
    <t xml:space="preserve">  Kondensator 22uF  / 25V  /  5V-Nextion-Versorgung - Elko</t>
  </si>
  <si>
    <t>EEU-FR1E471L</t>
  </si>
  <si>
    <t>Elektrolytkondensator, 470 µF, 25 V, ±20%, Radial, 9000 Stunden/105°C</t>
  </si>
  <si>
    <t>667-EEU-FR1E471L</t>
  </si>
  <si>
    <t xml:space="preserve">  Kondensator 470uF  / 50V  /  12DC-Versorgung - Elko</t>
  </si>
  <si>
    <t>EEU-FR1H471</t>
  </si>
  <si>
    <t>Elektrolytkondensator, 470 µF, 50 V, ±20%, Radial, 10000 Stunden/105°C</t>
  </si>
  <si>
    <t xml:space="preserve">667-EEU-FR1H471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</si>
</sst>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CHF-807]\ * #,##0.00_ ;_ [$CHF-807]\ * \-#,##0.00_ ;_ [$CHF-807]\ * &quot;-&quot;??_ ;_ @_ "/>
  </numFmts>
  <fonts count="7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u/>
      <sz val="20"/>
      <name val="Arial"/>
      <family val="2"/>
    </font>
    <font>
      <b/>
      <u/>
      <sz val="11"/>
      <name val="Arial"/>
      <family val="2"/>
    </font>
    <font>
      <sz val="10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0" xfId="1" applyFont="1" applyFill="1" applyBorder="1" applyAlignment="1" applyProtection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3" fillId="0" borderId="0" xfId="1" applyFont="1" applyFill="1" applyBorder="1" applyAlignment="1" applyProtection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3" fillId="0" borderId="15" xfId="0" quotePrefix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4" fontId="3" fillId="0" borderId="15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0" borderId="0" xfId="0" applyFont="1"/>
    <xf numFmtId="164" fontId="0" fillId="4" borderId="0" xfId="0" applyNumberFormat="1" applyFill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3" fillId="0" borderId="0" xfId="1" applyNumberFormat="1" applyFont="1" applyFill="1" applyBorder="1" applyAlignment="1" applyProtection="1">
      <alignment horizontal="left" vertical="center" wrapText="1"/>
    </xf>
    <xf numFmtId="0" fontId="3" fillId="3" borderId="15" xfId="0" quotePrefix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/>
    <xf numFmtId="0" fontId="3" fillId="3" borderId="0" xfId="0" applyFont="1" applyFill="1" applyAlignment="1">
      <alignment horizontal="left" vertical="center" wrapText="1"/>
    </xf>
    <xf numFmtId="164" fontId="3" fillId="3" borderId="0" xfId="1" applyNumberFormat="1" applyFont="1" applyFill="1" applyBorder="1" applyAlignment="1" applyProtection="1">
      <alignment horizontal="left" vertical="center" wrapText="1"/>
    </xf>
    <xf numFmtId="0" fontId="3" fillId="3" borderId="0" xfId="1" applyFont="1" applyFill="1" applyBorder="1" applyAlignment="1" applyProtection="1">
      <alignment horizontal="left" vertical="center" wrapText="1"/>
    </xf>
    <xf numFmtId="0" fontId="3" fillId="3" borderId="0" xfId="1" applyFont="1" applyFill="1" applyAlignment="1" applyProtection="1">
      <alignment horizontal="left" vertical="center" wrapText="1"/>
    </xf>
    <xf numFmtId="164" fontId="3" fillId="3" borderId="0" xfId="0" applyNumberFormat="1" applyFont="1" applyFill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3" borderId="12" xfId="0" quotePrefix="1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 wrapText="1"/>
    </xf>
    <xf numFmtId="0" fontId="3" fillId="3" borderId="12" xfId="1" applyFont="1" applyFill="1" applyBorder="1" applyAlignment="1" applyProtection="1">
      <alignment horizontal="left" vertical="center" wrapText="1"/>
    </xf>
    <xf numFmtId="0" fontId="3" fillId="3" borderId="15" xfId="1" applyFont="1" applyFill="1" applyBorder="1" applyAlignment="1" applyProtection="1">
      <alignment horizontal="left" vertical="center" wrapText="1"/>
    </xf>
    <xf numFmtId="0" fontId="3" fillId="3" borderId="0" xfId="0" applyFont="1" applyFill="1"/>
    <xf numFmtId="0" fontId="3" fillId="5" borderId="15" xfId="0" quotePrefix="1" applyFont="1" applyFill="1" applyBorder="1" applyAlignment="1">
      <alignment horizontal="left" vertical="center"/>
    </xf>
    <xf numFmtId="0" fontId="3" fillId="5" borderId="15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1" applyFont="1" applyFill="1" applyBorder="1" applyAlignment="1" applyProtection="1">
      <alignment horizontal="left" vertical="center" wrapText="1"/>
    </xf>
    <xf numFmtId="0" fontId="3" fillId="5" borderId="0" xfId="1" applyFont="1" applyFill="1" applyAlignment="1" applyProtection="1">
      <alignment horizontal="left" vertical="center" wrapText="1"/>
    </xf>
    <xf numFmtId="164" fontId="3" fillId="5" borderId="0" xfId="0" applyNumberFormat="1" applyFont="1" applyFill="1" applyAlignment="1">
      <alignment horizontal="left" vertical="center" wrapText="1"/>
    </xf>
    <xf numFmtId="164" fontId="3" fillId="5" borderId="15" xfId="0" applyNumberFormat="1" applyFont="1" applyFill="1" applyBorder="1" applyAlignment="1">
      <alignment horizontal="left" vertical="center"/>
    </xf>
    <xf numFmtId="164" fontId="3" fillId="3" borderId="15" xfId="0" applyNumberFormat="1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 wrapText="1"/>
    </xf>
    <xf numFmtId="164" fontId="3" fillId="5" borderId="0" xfId="1" applyNumberFormat="1" applyFont="1" applyFill="1" applyBorder="1" applyAlignment="1" applyProtection="1">
      <alignment horizontal="left" vertical="center" wrapText="1"/>
    </xf>
    <xf numFmtId="0" fontId="3" fillId="5" borderId="15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/>
    </xf>
    <xf numFmtId="0" fontId="3" fillId="5" borderId="14" xfId="0" applyFont="1" applyFill="1" applyBorder="1" applyAlignment="1">
      <alignment horizontal="left" vertical="center"/>
    </xf>
    <xf numFmtId="0" fontId="3" fillId="5" borderId="15" xfId="1" applyFont="1" applyFill="1" applyBorder="1" applyAlignment="1" applyProtection="1">
      <alignment horizontal="left" vertical="center" wrapText="1"/>
    </xf>
    <xf numFmtId="164" fontId="3" fillId="5" borderId="15" xfId="0" applyNumberFormat="1" applyFont="1" applyFill="1" applyBorder="1" applyAlignment="1">
      <alignment horizontal="left" vertical="center" wrapText="1"/>
    </xf>
    <xf numFmtId="0" fontId="3" fillId="6" borderId="0" xfId="1" applyFont="1" applyFill="1" applyBorder="1" applyAlignment="1" applyProtection="1">
      <alignment horizontal="left" vertical="center" wrapText="1"/>
    </xf>
    <xf numFmtId="0" fontId="3" fillId="6" borderId="0" xfId="0" applyFont="1" applyFill="1" applyAlignment="1">
      <alignment horizontal="left" vertical="center"/>
    </xf>
    <xf numFmtId="0" fontId="3" fillId="6" borderId="15" xfId="0" applyFont="1" applyFill="1" applyBorder="1" applyAlignment="1">
      <alignment horizontal="left" vertical="center" wrapText="1"/>
    </xf>
    <xf numFmtId="164" fontId="3" fillId="6" borderId="0" xfId="0" applyNumberFormat="1" applyFont="1" applyFill="1" applyAlignment="1">
      <alignment horizontal="left" vertical="center" wrapText="1"/>
    </xf>
    <xf numFmtId="164" fontId="3" fillId="6" borderId="15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2">
    <cellStyle name="Link" xfId="1" builtinId="8"/>
    <cellStyle name="Standard" xfId="0" builtinId="0"/>
  </cellStyles>
  <dxfs count="2"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70"/>
  <sheetViews>
    <sheetView tabSelected="1" view="pageLayout" topLeftCell="A13" zoomScaleNormal="100" workbookViewId="0">
      <selection activeCell="E17" sqref="E17"/>
    </sheetView>
  </sheetViews>
  <sheetFormatPr baseColWidth="10" defaultColWidth="0" defaultRowHeight="14.15" customHeight="1" x14ac:dyDescent="0.25"/>
  <cols>
    <col min="1" max="1" width="51.26953125" style="1" customWidth="1"/>
    <col min="2" max="2" width="9.7265625" style="1" bestFit="1" customWidth="1"/>
    <col min="3" max="3" width="18.453125" style="1" customWidth="1"/>
    <col min="4" max="4" width="22.81640625" style="1" customWidth="1"/>
    <col min="5" max="5" width="87.81640625" style="1" customWidth="1"/>
    <col min="6" max="6" width="15.26953125" style="1" customWidth="1"/>
    <col min="7" max="7" width="22.7265625" style="1" bestFit="1" customWidth="1"/>
    <col min="8" max="9" width="15" style="20" customWidth="1"/>
    <col min="10" max="10" width="12.81640625" style="1" customWidth="1"/>
    <col min="11" max="11" width="2.453125" style="1" customWidth="1"/>
    <col min="12" max="16384" width="0" style="1" hidden="1"/>
  </cols>
  <sheetData>
    <row r="2" spans="1:11" ht="28.4" customHeight="1" x14ac:dyDescent="0.25">
      <c r="A2" s="68" t="s">
        <v>87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5" spans="1:11" ht="14.15" customHeight="1" x14ac:dyDescent="0.25">
      <c r="A5" s="69" t="s">
        <v>4</v>
      </c>
      <c r="B5" s="69" t="s">
        <v>5</v>
      </c>
      <c r="C5" s="69" t="s">
        <v>8</v>
      </c>
      <c r="D5" s="69" t="s">
        <v>45</v>
      </c>
      <c r="E5" s="69" t="s">
        <v>3</v>
      </c>
      <c r="F5" s="69" t="s">
        <v>9</v>
      </c>
      <c r="G5" s="74" t="s">
        <v>0</v>
      </c>
      <c r="H5" s="72" t="s">
        <v>12</v>
      </c>
      <c r="I5" s="72" t="s">
        <v>13</v>
      </c>
      <c r="J5" s="69" t="s">
        <v>2</v>
      </c>
      <c r="K5" s="71"/>
    </row>
    <row r="6" spans="1:11" ht="14.15" customHeight="1" x14ac:dyDescent="0.25">
      <c r="A6" s="70"/>
      <c r="B6" s="70"/>
      <c r="C6" s="70"/>
      <c r="D6" s="70"/>
      <c r="E6" s="70"/>
      <c r="F6" s="70"/>
      <c r="G6" s="75"/>
      <c r="H6" s="73"/>
      <c r="I6" s="73"/>
      <c r="J6" s="70"/>
      <c r="K6" s="71"/>
    </row>
    <row r="7" spans="1:11" ht="14.15" customHeight="1" x14ac:dyDescent="0.25">
      <c r="A7" s="15"/>
      <c r="B7" s="3"/>
      <c r="C7" s="3"/>
      <c r="D7" s="3"/>
      <c r="E7" s="3"/>
      <c r="F7" s="3"/>
      <c r="G7" s="3"/>
      <c r="H7" s="19"/>
      <c r="I7" s="19"/>
      <c r="J7" s="4"/>
      <c r="K7" s="2"/>
    </row>
    <row r="8" spans="1:11" ht="28.4" customHeight="1" x14ac:dyDescent="0.25">
      <c r="A8" s="11" t="s">
        <v>19</v>
      </c>
      <c r="B8" s="13"/>
      <c r="E8" s="5"/>
      <c r="J8" s="10"/>
    </row>
    <row r="9" spans="1:11" ht="14.15" customHeight="1" x14ac:dyDescent="0.25">
      <c r="A9" s="16" t="s">
        <v>20</v>
      </c>
      <c r="B9" s="42" t="s">
        <v>6</v>
      </c>
      <c r="C9" s="43" t="s">
        <v>10</v>
      </c>
      <c r="D9" s="44" t="s">
        <v>22</v>
      </c>
      <c r="E9" s="45" t="s">
        <v>21</v>
      </c>
      <c r="F9" s="43" t="s">
        <v>10</v>
      </c>
      <c r="G9" s="44" t="s">
        <v>22</v>
      </c>
      <c r="H9" s="38">
        <v>50</v>
      </c>
      <c r="I9" s="55">
        <f t="shared" ref="I9:I68" si="0">J9*H9</f>
        <v>50</v>
      </c>
      <c r="J9" s="8">
        <v>1</v>
      </c>
    </row>
    <row r="10" spans="1:11" ht="14.15" customHeight="1" x14ac:dyDescent="0.25">
      <c r="A10" s="17" t="s">
        <v>23</v>
      </c>
      <c r="B10" s="31" t="s">
        <v>6</v>
      </c>
      <c r="C10" s="40" t="s">
        <v>10</v>
      </c>
      <c r="D10" s="39" t="s">
        <v>25</v>
      </c>
      <c r="E10" s="46" t="s">
        <v>24</v>
      </c>
      <c r="F10" s="40" t="s">
        <v>10</v>
      </c>
      <c r="G10" s="39" t="s">
        <v>25</v>
      </c>
      <c r="H10" s="38">
        <v>10</v>
      </c>
      <c r="I10" s="55">
        <f t="shared" si="0"/>
        <v>10</v>
      </c>
      <c r="J10" s="9">
        <v>1</v>
      </c>
    </row>
    <row r="11" spans="1:11" ht="14.15" customHeight="1" x14ac:dyDescent="0.25">
      <c r="A11" s="60" t="s">
        <v>11</v>
      </c>
      <c r="B11" s="48" t="s">
        <v>6</v>
      </c>
      <c r="C11" s="49" t="s">
        <v>10</v>
      </c>
      <c r="D11" s="58" t="s">
        <v>27</v>
      </c>
      <c r="E11" s="61" t="s">
        <v>26</v>
      </c>
      <c r="F11" s="49" t="s">
        <v>10</v>
      </c>
      <c r="G11" s="58" t="s">
        <v>27</v>
      </c>
      <c r="H11" s="62">
        <v>10</v>
      </c>
      <c r="I11" s="54">
        <f t="shared" si="0"/>
        <v>0</v>
      </c>
      <c r="J11" s="9">
        <v>0</v>
      </c>
    </row>
    <row r="12" spans="1:11" ht="14.15" customHeight="1" x14ac:dyDescent="0.25">
      <c r="A12" s="17" t="s">
        <v>15</v>
      </c>
      <c r="B12" s="31" t="s">
        <v>6</v>
      </c>
      <c r="C12" s="40" t="s">
        <v>16</v>
      </c>
      <c r="D12" s="40"/>
      <c r="E12" s="46" t="s">
        <v>18</v>
      </c>
      <c r="F12" s="40" t="s">
        <v>1</v>
      </c>
      <c r="G12" s="47" t="s">
        <v>17</v>
      </c>
      <c r="H12" s="38">
        <v>0.8</v>
      </c>
      <c r="I12" s="55">
        <f t="shared" si="0"/>
        <v>4</v>
      </c>
      <c r="J12" s="9">
        <v>5</v>
      </c>
    </row>
    <row r="13" spans="1:11" ht="14.15" customHeight="1" x14ac:dyDescent="0.25">
      <c r="A13" s="41"/>
      <c r="B13" s="14"/>
      <c r="E13" s="12"/>
      <c r="G13" s="24"/>
      <c r="H13" s="30"/>
      <c r="I13" s="21">
        <f t="shared" si="0"/>
        <v>0</v>
      </c>
      <c r="J13" s="10"/>
    </row>
    <row r="14" spans="1:11" ht="14.15" customHeight="1" x14ac:dyDescent="0.25">
      <c r="A14" s="60" t="s">
        <v>75</v>
      </c>
      <c r="B14" s="48" t="s">
        <v>6</v>
      </c>
      <c r="C14" s="50" t="s">
        <v>76</v>
      </c>
      <c r="D14" s="50" t="s">
        <v>77</v>
      </c>
      <c r="E14" s="51" t="s">
        <v>97</v>
      </c>
      <c r="F14" s="50" t="s">
        <v>53</v>
      </c>
      <c r="G14" s="56" t="s">
        <v>78</v>
      </c>
      <c r="H14" s="57">
        <v>4.7</v>
      </c>
      <c r="I14" s="54">
        <f t="shared" si="0"/>
        <v>0</v>
      </c>
      <c r="J14" s="10">
        <v>0</v>
      </c>
    </row>
    <row r="15" spans="1:11" ht="14.15" customHeight="1" x14ac:dyDescent="0.25">
      <c r="A15" s="17" t="s">
        <v>75</v>
      </c>
      <c r="B15" s="31" t="s">
        <v>6</v>
      </c>
      <c r="C15" s="32" t="s">
        <v>149</v>
      </c>
      <c r="D15" s="32" t="s">
        <v>150</v>
      </c>
      <c r="E15" s="36" t="s">
        <v>98</v>
      </c>
      <c r="F15" s="32" t="s">
        <v>53</v>
      </c>
      <c r="G15" s="34" t="s">
        <v>148</v>
      </c>
      <c r="H15" s="35">
        <v>8.6</v>
      </c>
      <c r="I15" s="55">
        <f t="shared" si="0"/>
        <v>8.6</v>
      </c>
      <c r="J15" s="10">
        <v>1</v>
      </c>
    </row>
    <row r="16" spans="1:11" ht="14.15" customHeight="1" x14ac:dyDescent="0.25">
      <c r="A16" s="17" t="s">
        <v>152</v>
      </c>
      <c r="B16" s="31" t="s">
        <v>6</v>
      </c>
      <c r="C16" s="32" t="s">
        <v>99</v>
      </c>
      <c r="D16" s="32" t="s">
        <v>104</v>
      </c>
      <c r="E16" s="36" t="s">
        <v>105</v>
      </c>
      <c r="F16" s="32" t="s">
        <v>53</v>
      </c>
      <c r="G16" s="39" t="s">
        <v>151</v>
      </c>
      <c r="H16" s="38">
        <v>0.6</v>
      </c>
      <c r="I16" s="55">
        <f t="shared" si="0"/>
        <v>0.6</v>
      </c>
      <c r="J16" s="10">
        <v>1</v>
      </c>
    </row>
    <row r="17" spans="1:10" ht="14.15" customHeight="1" x14ac:dyDescent="0.25">
      <c r="A17" s="17" t="s">
        <v>244</v>
      </c>
      <c r="B17" s="31" t="s">
        <v>6</v>
      </c>
      <c r="C17" s="32" t="s">
        <v>100</v>
      </c>
      <c r="D17" s="32" t="s">
        <v>245</v>
      </c>
      <c r="E17" s="63" t="s">
        <v>246</v>
      </c>
      <c r="F17" s="64" t="s">
        <v>53</v>
      </c>
      <c r="G17" s="65" t="s">
        <v>247</v>
      </c>
      <c r="H17" s="66">
        <v>1.2</v>
      </c>
      <c r="I17" s="67">
        <f t="shared" si="0"/>
        <v>1.2</v>
      </c>
      <c r="J17" s="10">
        <v>1</v>
      </c>
    </row>
    <row r="18" spans="1:10" ht="14.15" customHeight="1" x14ac:dyDescent="0.25">
      <c r="A18" s="60" t="s">
        <v>237</v>
      </c>
      <c r="B18" s="48" t="s">
        <v>6</v>
      </c>
      <c r="C18" s="50" t="s">
        <v>100</v>
      </c>
      <c r="D18" s="50" t="s">
        <v>236</v>
      </c>
      <c r="E18" s="51" t="s">
        <v>101</v>
      </c>
      <c r="F18" s="50" t="s">
        <v>53</v>
      </c>
      <c r="G18" s="58" t="s">
        <v>153</v>
      </c>
      <c r="H18" s="53">
        <v>0.6</v>
      </c>
      <c r="I18" s="54">
        <f t="shared" ref="I18" si="1">J18*H18</f>
        <v>0.6</v>
      </c>
      <c r="J18" s="10">
        <v>1</v>
      </c>
    </row>
    <row r="19" spans="1:10" ht="14.15" customHeight="1" x14ac:dyDescent="0.25">
      <c r="A19" s="17" t="s">
        <v>238</v>
      </c>
      <c r="B19" s="31" t="s">
        <v>6</v>
      </c>
      <c r="C19" s="32" t="s">
        <v>100</v>
      </c>
      <c r="D19" s="32" t="s">
        <v>241</v>
      </c>
      <c r="E19" s="63" t="s">
        <v>242</v>
      </c>
      <c r="F19" s="64" t="s">
        <v>53</v>
      </c>
      <c r="G19" s="65" t="s">
        <v>243</v>
      </c>
      <c r="H19" s="66">
        <v>0.8</v>
      </c>
      <c r="I19" s="67">
        <f t="shared" si="0"/>
        <v>0.8</v>
      </c>
      <c r="J19" s="10">
        <v>1</v>
      </c>
    </row>
    <row r="20" spans="1:10" ht="14.15" customHeight="1" x14ac:dyDescent="0.25">
      <c r="A20" s="60" t="s">
        <v>240</v>
      </c>
      <c r="B20" s="48" t="s">
        <v>6</v>
      </c>
      <c r="C20" s="50" t="s">
        <v>100</v>
      </c>
      <c r="D20" s="50" t="s">
        <v>162</v>
      </c>
      <c r="E20" s="51" t="s">
        <v>164</v>
      </c>
      <c r="F20" s="50" t="s">
        <v>53</v>
      </c>
      <c r="G20" s="58" t="s">
        <v>163</v>
      </c>
      <c r="H20" s="53">
        <v>0.2</v>
      </c>
      <c r="I20" s="54">
        <f>J20*H20</f>
        <v>0.2</v>
      </c>
      <c r="J20" s="10">
        <v>1</v>
      </c>
    </row>
    <row r="21" spans="1:10" ht="14.15" customHeight="1" x14ac:dyDescent="0.25">
      <c r="A21" s="17" t="s">
        <v>239</v>
      </c>
      <c r="B21" s="31" t="s">
        <v>6</v>
      </c>
      <c r="C21" s="32" t="s">
        <v>39</v>
      </c>
      <c r="D21" s="32" t="s">
        <v>160</v>
      </c>
      <c r="E21" s="36" t="s">
        <v>159</v>
      </c>
      <c r="F21" s="32" t="s">
        <v>53</v>
      </c>
      <c r="G21" s="39" t="s">
        <v>161</v>
      </c>
      <c r="H21" s="38">
        <v>0.4</v>
      </c>
      <c r="I21" s="55">
        <f>J21*H21</f>
        <v>2.4000000000000004</v>
      </c>
      <c r="J21" s="10">
        <v>6</v>
      </c>
    </row>
    <row r="22" spans="1:10" ht="14.15" customHeight="1" x14ac:dyDescent="0.25">
      <c r="A22" s="17" t="s">
        <v>80</v>
      </c>
      <c r="B22" s="31"/>
      <c r="C22" s="32" t="s">
        <v>79</v>
      </c>
      <c r="D22" s="32">
        <v>55900000001</v>
      </c>
      <c r="E22" s="36" t="s">
        <v>108</v>
      </c>
      <c r="F22" s="32" t="s">
        <v>53</v>
      </c>
      <c r="G22" s="34" t="s">
        <v>154</v>
      </c>
      <c r="H22" s="35">
        <v>1</v>
      </c>
      <c r="I22" s="55">
        <f t="shared" si="0"/>
        <v>2</v>
      </c>
      <c r="J22" s="10">
        <v>2</v>
      </c>
    </row>
    <row r="23" spans="1:10" ht="14.15" customHeight="1" x14ac:dyDescent="0.25">
      <c r="A23" s="17" t="s">
        <v>109</v>
      </c>
      <c r="B23" s="31"/>
      <c r="C23" s="32" t="s">
        <v>79</v>
      </c>
      <c r="D23" s="32">
        <v>37212000411</v>
      </c>
      <c r="E23" s="33" t="s">
        <v>110</v>
      </c>
      <c r="F23" s="32" t="s">
        <v>34</v>
      </c>
      <c r="G23" s="34">
        <v>2786441</v>
      </c>
      <c r="H23" s="35">
        <v>1</v>
      </c>
      <c r="I23" s="55">
        <f t="shared" si="0"/>
        <v>1</v>
      </c>
      <c r="J23" s="10">
        <v>1</v>
      </c>
    </row>
    <row r="24" spans="1:10" ht="14.15" customHeight="1" x14ac:dyDescent="0.25">
      <c r="A24" s="17" t="s">
        <v>81</v>
      </c>
      <c r="B24" s="31"/>
      <c r="C24" s="32" t="s">
        <v>79</v>
      </c>
      <c r="D24" s="32">
        <v>37005000430</v>
      </c>
      <c r="E24" s="33" t="s">
        <v>111</v>
      </c>
      <c r="F24" s="32" t="s">
        <v>34</v>
      </c>
      <c r="G24" s="34">
        <v>9515950</v>
      </c>
      <c r="H24" s="35">
        <v>1</v>
      </c>
      <c r="I24" s="55">
        <f t="shared" si="0"/>
        <v>1</v>
      </c>
      <c r="J24" s="10">
        <v>1</v>
      </c>
    </row>
    <row r="25" spans="1:10" ht="14.15" customHeight="1" x14ac:dyDescent="0.25">
      <c r="A25" s="17" t="s">
        <v>168</v>
      </c>
      <c r="B25" s="31"/>
      <c r="C25" s="32" t="s">
        <v>155</v>
      </c>
      <c r="D25" s="32" t="s">
        <v>156</v>
      </c>
      <c r="E25" s="33" t="s">
        <v>158</v>
      </c>
      <c r="F25" s="32" t="s">
        <v>53</v>
      </c>
      <c r="G25" s="34" t="s">
        <v>157</v>
      </c>
      <c r="H25" s="35">
        <v>0.4</v>
      </c>
      <c r="I25" s="55">
        <f t="shared" si="0"/>
        <v>0.8</v>
      </c>
      <c r="J25" s="10">
        <v>2</v>
      </c>
    </row>
    <row r="26" spans="1:10" ht="13.5" customHeight="1" x14ac:dyDescent="0.25">
      <c r="A26" s="17" t="s">
        <v>210</v>
      </c>
      <c r="B26" s="31" t="s">
        <v>6</v>
      </c>
      <c r="C26" s="32" t="s">
        <v>206</v>
      </c>
      <c r="D26" s="32" t="s">
        <v>207</v>
      </c>
      <c r="E26" s="36" t="s">
        <v>208</v>
      </c>
      <c r="F26" s="32" t="s">
        <v>209</v>
      </c>
      <c r="G26" s="37"/>
      <c r="H26" s="38">
        <v>29</v>
      </c>
      <c r="I26" s="55">
        <f t="shared" ref="I26" si="2">J26*H26</f>
        <v>29</v>
      </c>
      <c r="J26" s="10">
        <v>1</v>
      </c>
    </row>
    <row r="27" spans="1:10" ht="13.5" customHeight="1" x14ac:dyDescent="0.25">
      <c r="A27" s="17" t="s">
        <v>28</v>
      </c>
      <c r="B27" s="31" t="s">
        <v>6</v>
      </c>
      <c r="C27" s="32" t="s">
        <v>31</v>
      </c>
      <c r="D27" s="32" t="s">
        <v>46</v>
      </c>
      <c r="E27" s="36" t="s">
        <v>88</v>
      </c>
      <c r="F27" s="32" t="s">
        <v>1</v>
      </c>
      <c r="G27" s="37" t="s">
        <v>85</v>
      </c>
      <c r="H27" s="38">
        <v>7</v>
      </c>
      <c r="I27" s="55">
        <f t="shared" si="0"/>
        <v>7</v>
      </c>
      <c r="J27" s="10">
        <v>1</v>
      </c>
    </row>
    <row r="28" spans="1:10" ht="14.15" customHeight="1" x14ac:dyDescent="0.25">
      <c r="A28" s="17" t="s">
        <v>29</v>
      </c>
      <c r="B28" s="31" t="s">
        <v>6</v>
      </c>
      <c r="C28" s="32" t="s">
        <v>32</v>
      </c>
      <c r="D28" s="32" t="s">
        <v>47</v>
      </c>
      <c r="E28" s="36" t="s">
        <v>35</v>
      </c>
      <c r="F28" s="32" t="s">
        <v>53</v>
      </c>
      <c r="G28" s="39" t="s">
        <v>71</v>
      </c>
      <c r="H28" s="38">
        <v>8.35</v>
      </c>
      <c r="I28" s="55">
        <f t="shared" si="0"/>
        <v>8.35</v>
      </c>
      <c r="J28" s="10">
        <v>1</v>
      </c>
    </row>
    <row r="29" spans="1:10" ht="14.15" customHeight="1" x14ac:dyDescent="0.25">
      <c r="A29" s="59" t="s">
        <v>30</v>
      </c>
      <c r="B29" s="48" t="s">
        <v>6</v>
      </c>
      <c r="C29" s="50" t="s">
        <v>33</v>
      </c>
      <c r="D29" s="50" t="s">
        <v>48</v>
      </c>
      <c r="E29" s="51" t="s">
        <v>36</v>
      </c>
      <c r="F29" s="50" t="s">
        <v>53</v>
      </c>
      <c r="G29" s="58" t="s">
        <v>72</v>
      </c>
      <c r="H29" s="53">
        <v>0.7</v>
      </c>
      <c r="I29" s="54">
        <f t="shared" ref="I29" si="3">J29*H29</f>
        <v>0</v>
      </c>
      <c r="J29" s="10">
        <v>0</v>
      </c>
    </row>
    <row r="30" spans="1:10" ht="14.15" customHeight="1" x14ac:dyDescent="0.25">
      <c r="A30" s="23" t="s">
        <v>30</v>
      </c>
      <c r="B30" s="31" t="s">
        <v>6</v>
      </c>
      <c r="C30" s="32" t="s">
        <v>33</v>
      </c>
      <c r="D30" s="32" t="s">
        <v>222</v>
      </c>
      <c r="E30" s="63" t="s">
        <v>223</v>
      </c>
      <c r="F30" s="64" t="s">
        <v>53</v>
      </c>
      <c r="G30" s="65" t="s">
        <v>224</v>
      </c>
      <c r="H30" s="66">
        <v>1.4</v>
      </c>
      <c r="I30" s="67">
        <f t="shared" si="0"/>
        <v>1.4</v>
      </c>
      <c r="J30" s="10">
        <v>1</v>
      </c>
    </row>
    <row r="31" spans="1:10" ht="13.5" customHeight="1" x14ac:dyDescent="0.25">
      <c r="A31" s="60" t="s">
        <v>37</v>
      </c>
      <c r="B31" s="48" t="s">
        <v>6</v>
      </c>
      <c r="C31" s="50" t="s">
        <v>38</v>
      </c>
      <c r="D31" s="50" t="s">
        <v>49</v>
      </c>
      <c r="E31" s="51" t="s">
        <v>40</v>
      </c>
      <c r="F31" s="50" t="s">
        <v>53</v>
      </c>
      <c r="G31" s="52" t="s">
        <v>73</v>
      </c>
      <c r="H31" s="53">
        <v>0.35</v>
      </c>
      <c r="I31" s="54">
        <f t="shared" ref="I31" si="4">J31*H31</f>
        <v>0</v>
      </c>
      <c r="J31" s="10">
        <v>0</v>
      </c>
    </row>
    <row r="32" spans="1:10" ht="13.5" customHeight="1" x14ac:dyDescent="0.25">
      <c r="A32" s="17" t="s">
        <v>37</v>
      </c>
      <c r="B32" s="31" t="s">
        <v>6</v>
      </c>
      <c r="C32" s="32" t="s">
        <v>179</v>
      </c>
      <c r="D32" s="32" t="s">
        <v>180</v>
      </c>
      <c r="E32" s="36" t="s">
        <v>182</v>
      </c>
      <c r="F32" s="32" t="s">
        <v>53</v>
      </c>
      <c r="G32" s="37" t="s">
        <v>181</v>
      </c>
      <c r="H32" s="38">
        <v>0.35</v>
      </c>
      <c r="I32" s="55">
        <f t="shared" si="0"/>
        <v>0.35</v>
      </c>
      <c r="J32" s="10">
        <v>1</v>
      </c>
    </row>
    <row r="33" spans="1:10" ht="14.15" customHeight="1" x14ac:dyDescent="0.25">
      <c r="A33" s="17" t="s">
        <v>183</v>
      </c>
      <c r="B33" s="31" t="s">
        <v>6</v>
      </c>
      <c r="C33" s="32" t="s">
        <v>39</v>
      </c>
      <c r="D33" s="32" t="s">
        <v>184</v>
      </c>
      <c r="E33" s="36" t="s">
        <v>185</v>
      </c>
      <c r="F33" s="32" t="s">
        <v>53</v>
      </c>
      <c r="G33" s="39" t="s">
        <v>186</v>
      </c>
      <c r="H33" s="38">
        <v>1.1000000000000001</v>
      </c>
      <c r="I33" s="55">
        <f t="shared" si="0"/>
        <v>3.3000000000000003</v>
      </c>
      <c r="J33" s="10">
        <v>3</v>
      </c>
    </row>
    <row r="34" spans="1:10" ht="14.15" customHeight="1" x14ac:dyDescent="0.25">
      <c r="A34" s="17" t="s">
        <v>123</v>
      </c>
      <c r="B34" s="31" t="s">
        <v>6</v>
      </c>
      <c r="C34" s="32" t="s">
        <v>42</v>
      </c>
      <c r="D34" s="32" t="s">
        <v>130</v>
      </c>
      <c r="E34" s="36" t="s">
        <v>134</v>
      </c>
      <c r="F34" s="32" t="s">
        <v>53</v>
      </c>
      <c r="G34" s="39" t="s">
        <v>141</v>
      </c>
      <c r="H34" s="38">
        <v>0.1</v>
      </c>
      <c r="I34" s="55">
        <f t="shared" ref="I34:I35" si="5">J34*H34</f>
        <v>0.4</v>
      </c>
      <c r="J34" s="10">
        <v>4</v>
      </c>
    </row>
    <row r="35" spans="1:10" ht="14.15" customHeight="1" x14ac:dyDescent="0.25">
      <c r="A35" s="17" t="s">
        <v>231</v>
      </c>
      <c r="B35" s="31" t="s">
        <v>6</v>
      </c>
      <c r="C35" s="32" t="s">
        <v>42</v>
      </c>
      <c r="D35" s="32" t="s">
        <v>226</v>
      </c>
      <c r="E35" s="63" t="s">
        <v>225</v>
      </c>
      <c r="F35" s="32" t="s">
        <v>53</v>
      </c>
      <c r="G35" s="39" t="s">
        <v>227</v>
      </c>
      <c r="H35" s="38">
        <v>0.2</v>
      </c>
      <c r="I35" s="55">
        <f t="shared" si="5"/>
        <v>0.4</v>
      </c>
      <c r="J35" s="10">
        <v>2</v>
      </c>
    </row>
    <row r="36" spans="1:10" ht="14.15" customHeight="1" x14ac:dyDescent="0.25">
      <c r="A36" s="17" t="s">
        <v>124</v>
      </c>
      <c r="B36" s="31" t="s">
        <v>6</v>
      </c>
      <c r="C36" s="32" t="s">
        <v>42</v>
      </c>
      <c r="D36" s="32" t="s">
        <v>131</v>
      </c>
      <c r="E36" s="63" t="s">
        <v>135</v>
      </c>
      <c r="F36" s="32" t="s">
        <v>53</v>
      </c>
      <c r="G36" s="39" t="s">
        <v>142</v>
      </c>
      <c r="H36" s="38">
        <v>0.1</v>
      </c>
      <c r="I36" s="55">
        <f t="shared" si="0"/>
        <v>0.2</v>
      </c>
      <c r="J36" s="10">
        <v>2</v>
      </c>
    </row>
    <row r="37" spans="1:10" ht="14.15" customHeight="1" x14ac:dyDescent="0.25">
      <c r="A37" s="17" t="s">
        <v>125</v>
      </c>
      <c r="B37" s="31" t="s">
        <v>6</v>
      </c>
      <c r="C37" s="32" t="s">
        <v>42</v>
      </c>
      <c r="D37" s="32" t="s">
        <v>103</v>
      </c>
      <c r="E37" s="36" t="s">
        <v>136</v>
      </c>
      <c r="F37" s="32" t="s">
        <v>53</v>
      </c>
      <c r="G37" s="39" t="s">
        <v>143</v>
      </c>
      <c r="H37" s="38">
        <v>0.1</v>
      </c>
      <c r="I37" s="55">
        <f t="shared" si="0"/>
        <v>0.1</v>
      </c>
      <c r="J37" s="10">
        <v>1</v>
      </c>
    </row>
    <row r="38" spans="1:10" ht="14.15" customHeight="1" x14ac:dyDescent="0.25">
      <c r="A38" s="17" t="s">
        <v>126</v>
      </c>
      <c r="B38" s="31" t="s">
        <v>6</v>
      </c>
      <c r="C38" s="32" t="s">
        <v>42</v>
      </c>
      <c r="D38" s="32" t="s">
        <v>102</v>
      </c>
      <c r="E38" s="36" t="s">
        <v>137</v>
      </c>
      <c r="F38" s="32" t="s">
        <v>53</v>
      </c>
      <c r="G38" s="39" t="s">
        <v>144</v>
      </c>
      <c r="H38" s="38">
        <v>0.1</v>
      </c>
      <c r="I38" s="55">
        <f t="shared" ref="I38" si="6">J38*H38</f>
        <v>0.60000000000000009</v>
      </c>
      <c r="J38" s="10">
        <v>6</v>
      </c>
    </row>
    <row r="39" spans="1:10" ht="14.15" customHeight="1" x14ac:dyDescent="0.25">
      <c r="A39" s="17" t="s">
        <v>230</v>
      </c>
      <c r="B39" s="31" t="s">
        <v>6</v>
      </c>
      <c r="C39" s="32" t="s">
        <v>42</v>
      </c>
      <c r="D39" s="32" t="s">
        <v>228</v>
      </c>
      <c r="E39" s="36" t="s">
        <v>221</v>
      </c>
      <c r="F39" s="32" t="s">
        <v>53</v>
      </c>
      <c r="G39" s="39" t="s">
        <v>229</v>
      </c>
      <c r="H39" s="38">
        <v>0.1</v>
      </c>
      <c r="I39" s="55">
        <f t="shared" si="0"/>
        <v>0.1</v>
      </c>
      <c r="J39" s="10">
        <v>1</v>
      </c>
    </row>
    <row r="40" spans="1:10" ht="14.15" customHeight="1" x14ac:dyDescent="0.25">
      <c r="A40" s="17" t="s">
        <v>127</v>
      </c>
      <c r="B40" s="31" t="s">
        <v>6</v>
      </c>
      <c r="C40" s="32" t="s">
        <v>42</v>
      </c>
      <c r="D40" s="32" t="s">
        <v>50</v>
      </c>
      <c r="E40" s="63" t="s">
        <v>138</v>
      </c>
      <c r="F40" s="32" t="s">
        <v>53</v>
      </c>
      <c r="G40" s="39" t="s">
        <v>145</v>
      </c>
      <c r="H40" s="38">
        <v>0.1</v>
      </c>
      <c r="I40" s="55">
        <f t="shared" si="0"/>
        <v>1.1000000000000001</v>
      </c>
      <c r="J40" s="10">
        <v>11</v>
      </c>
    </row>
    <row r="41" spans="1:10" ht="14.15" customHeight="1" x14ac:dyDescent="0.25">
      <c r="A41" s="17" t="s">
        <v>233</v>
      </c>
      <c r="B41" s="31" t="s">
        <v>6</v>
      </c>
      <c r="C41" s="32" t="s">
        <v>42</v>
      </c>
      <c r="D41" s="32" t="s">
        <v>232</v>
      </c>
      <c r="E41" s="63" t="s">
        <v>234</v>
      </c>
      <c r="F41" s="64" t="s">
        <v>53</v>
      </c>
      <c r="G41" s="65" t="s">
        <v>235</v>
      </c>
      <c r="H41" s="66">
        <v>0.1</v>
      </c>
      <c r="I41" s="67">
        <f t="shared" ref="I41" si="7">J41*H41</f>
        <v>0.1</v>
      </c>
      <c r="J41" s="10">
        <v>1</v>
      </c>
    </row>
    <row r="42" spans="1:10" ht="14.15" customHeight="1" x14ac:dyDescent="0.25">
      <c r="A42" s="17" t="s">
        <v>128</v>
      </c>
      <c r="B42" s="31" t="s">
        <v>6</v>
      </c>
      <c r="C42" s="32" t="s">
        <v>42</v>
      </c>
      <c r="D42" s="32" t="s">
        <v>132</v>
      </c>
      <c r="E42" s="36" t="s">
        <v>139</v>
      </c>
      <c r="F42" s="32" t="s">
        <v>53</v>
      </c>
      <c r="G42" s="39" t="s">
        <v>146</v>
      </c>
      <c r="H42" s="38">
        <v>0.1</v>
      </c>
      <c r="I42" s="55">
        <f t="shared" si="0"/>
        <v>0.2</v>
      </c>
      <c r="J42" s="10">
        <v>2</v>
      </c>
    </row>
    <row r="43" spans="1:10" ht="14.15" customHeight="1" x14ac:dyDescent="0.25">
      <c r="A43" s="17" t="s">
        <v>129</v>
      </c>
      <c r="B43" s="31" t="s">
        <v>6</v>
      </c>
      <c r="C43" s="32" t="s">
        <v>42</v>
      </c>
      <c r="D43" s="32" t="s">
        <v>133</v>
      </c>
      <c r="E43" s="36" t="s">
        <v>140</v>
      </c>
      <c r="F43" s="32" t="s">
        <v>53</v>
      </c>
      <c r="G43" s="39" t="s">
        <v>147</v>
      </c>
      <c r="H43" s="38">
        <v>0.1</v>
      </c>
      <c r="I43" s="55">
        <f t="shared" si="0"/>
        <v>0.2</v>
      </c>
      <c r="J43" s="10">
        <v>2</v>
      </c>
    </row>
    <row r="44" spans="1:10" ht="14.15" customHeight="1" x14ac:dyDescent="0.25">
      <c r="A44" s="23" t="s">
        <v>188</v>
      </c>
      <c r="B44" s="31" t="s">
        <v>6</v>
      </c>
      <c r="C44" s="32" t="s">
        <v>106</v>
      </c>
      <c r="D44" s="32" t="s">
        <v>189</v>
      </c>
      <c r="E44" s="36" t="s">
        <v>190</v>
      </c>
      <c r="F44" s="32" t="s">
        <v>53</v>
      </c>
      <c r="G44" s="39" t="s">
        <v>191</v>
      </c>
      <c r="H44" s="38">
        <v>0.5</v>
      </c>
      <c r="I44" s="55">
        <f t="shared" ref="I44" si="8">J44*H44</f>
        <v>3</v>
      </c>
      <c r="J44" s="10">
        <v>6</v>
      </c>
    </row>
    <row r="45" spans="1:10" ht="14.15" customHeight="1" x14ac:dyDescent="0.25">
      <c r="A45" s="59" t="s">
        <v>187</v>
      </c>
      <c r="B45" s="48" t="s">
        <v>6</v>
      </c>
      <c r="C45" s="50" t="s">
        <v>106</v>
      </c>
      <c r="D45" s="50" t="s">
        <v>192</v>
      </c>
      <c r="E45" s="51" t="s">
        <v>193</v>
      </c>
      <c r="F45" s="50" t="s">
        <v>53</v>
      </c>
      <c r="G45" s="58" t="s">
        <v>194</v>
      </c>
      <c r="H45" s="53">
        <v>0.5</v>
      </c>
      <c r="I45" s="54">
        <f t="shared" si="0"/>
        <v>0</v>
      </c>
      <c r="J45" s="10">
        <v>0</v>
      </c>
    </row>
    <row r="46" spans="1:10" ht="14.15" customHeight="1" x14ac:dyDescent="0.25">
      <c r="A46" s="23" t="s">
        <v>215</v>
      </c>
      <c r="B46" s="31" t="s">
        <v>6</v>
      </c>
      <c r="C46" s="32" t="s">
        <v>167</v>
      </c>
      <c r="D46" s="32" t="s">
        <v>166</v>
      </c>
      <c r="E46" s="36" t="s">
        <v>214</v>
      </c>
      <c r="F46" s="32" t="s">
        <v>53</v>
      </c>
      <c r="G46" s="39" t="s">
        <v>165</v>
      </c>
      <c r="H46" s="38">
        <v>0.1</v>
      </c>
      <c r="I46" s="55">
        <f t="shared" ref="I46:I47" si="9">J46*H46</f>
        <v>0.2</v>
      </c>
      <c r="J46" s="10">
        <v>2</v>
      </c>
    </row>
    <row r="47" spans="1:10" ht="14.15" customHeight="1" x14ac:dyDescent="0.25">
      <c r="A47" s="23" t="s">
        <v>216</v>
      </c>
      <c r="B47" s="31" t="s">
        <v>6</v>
      </c>
      <c r="C47" s="32" t="s">
        <v>167</v>
      </c>
      <c r="D47" s="32" t="s">
        <v>211</v>
      </c>
      <c r="E47" s="36" t="s">
        <v>213</v>
      </c>
      <c r="F47" s="32" t="s">
        <v>53</v>
      </c>
      <c r="G47" s="39" t="s">
        <v>212</v>
      </c>
      <c r="H47" s="38">
        <v>0.1</v>
      </c>
      <c r="I47" s="55">
        <f t="shared" si="9"/>
        <v>0.4</v>
      </c>
      <c r="J47" s="10">
        <v>4</v>
      </c>
    </row>
    <row r="48" spans="1:10" ht="14.15" customHeight="1" x14ac:dyDescent="0.25">
      <c r="A48" s="23" t="s">
        <v>41</v>
      </c>
      <c r="B48" s="31" t="s">
        <v>6</v>
      </c>
      <c r="C48" s="32" t="s">
        <v>43</v>
      </c>
      <c r="D48" s="32" t="s">
        <v>51</v>
      </c>
      <c r="E48" s="36" t="s">
        <v>44</v>
      </c>
      <c r="F48" s="32" t="s">
        <v>53</v>
      </c>
      <c r="G48" s="39" t="s">
        <v>74</v>
      </c>
      <c r="H48" s="38">
        <v>0.3</v>
      </c>
      <c r="I48" s="55">
        <f t="shared" si="0"/>
        <v>0.3</v>
      </c>
      <c r="J48" s="10">
        <v>1</v>
      </c>
    </row>
    <row r="49" spans="1:10" ht="14.15" customHeight="1" x14ac:dyDescent="0.25">
      <c r="A49" s="59" t="s">
        <v>169</v>
      </c>
      <c r="B49" s="48" t="s">
        <v>6</v>
      </c>
      <c r="C49" s="50" t="s">
        <v>174</v>
      </c>
      <c r="D49" s="50">
        <v>161</v>
      </c>
      <c r="E49" s="51" t="s">
        <v>170</v>
      </c>
      <c r="F49" s="50" t="s">
        <v>1</v>
      </c>
      <c r="G49" s="56" t="s">
        <v>171</v>
      </c>
      <c r="H49" s="53">
        <v>1.2</v>
      </c>
      <c r="I49" s="54">
        <f t="shared" ref="I49" si="10">J49*H49</f>
        <v>0</v>
      </c>
      <c r="J49" s="10">
        <v>0</v>
      </c>
    </row>
    <row r="50" spans="1:10" ht="14.15" customHeight="1" x14ac:dyDescent="0.25">
      <c r="A50" s="23" t="s">
        <v>217</v>
      </c>
      <c r="B50" s="31" t="s">
        <v>6</v>
      </c>
      <c r="C50" s="32" t="s">
        <v>218</v>
      </c>
      <c r="D50" s="32" t="s">
        <v>219</v>
      </c>
      <c r="E50" s="36" t="s">
        <v>170</v>
      </c>
      <c r="F50" s="32" t="s">
        <v>53</v>
      </c>
      <c r="G50" s="34" t="s">
        <v>220</v>
      </c>
      <c r="H50" s="38">
        <v>1.2</v>
      </c>
      <c r="I50" s="55">
        <f t="shared" si="0"/>
        <v>1.2</v>
      </c>
      <c r="J50" s="10">
        <v>1</v>
      </c>
    </row>
    <row r="51" spans="1:10" ht="14.15" customHeight="1" x14ac:dyDescent="0.25">
      <c r="A51" s="23" t="s">
        <v>107</v>
      </c>
      <c r="B51" s="31"/>
      <c r="C51" s="32" t="s">
        <v>119</v>
      </c>
      <c r="D51" s="32" t="s">
        <v>120</v>
      </c>
      <c r="E51" s="36" t="s">
        <v>122</v>
      </c>
      <c r="F51" s="32" t="s">
        <v>53</v>
      </c>
      <c r="G51" s="34" t="s">
        <v>121</v>
      </c>
      <c r="H51" s="38">
        <v>1</v>
      </c>
      <c r="I51" s="55">
        <f t="shared" ref="I51:I53" si="11">J51*H51</f>
        <v>2</v>
      </c>
      <c r="J51" s="10">
        <v>2</v>
      </c>
    </row>
    <row r="52" spans="1:10" ht="14.15" customHeight="1" x14ac:dyDescent="0.25">
      <c r="A52" s="59" t="s">
        <v>201</v>
      </c>
      <c r="B52" s="48"/>
      <c r="C52" s="50" t="s">
        <v>195</v>
      </c>
      <c r="D52" s="50" t="s">
        <v>204</v>
      </c>
      <c r="E52" s="51" t="s">
        <v>202</v>
      </c>
      <c r="F52" s="50" t="s">
        <v>203</v>
      </c>
      <c r="G52" s="56" t="s">
        <v>205</v>
      </c>
      <c r="H52" s="53">
        <v>1</v>
      </c>
      <c r="I52" s="54">
        <f t="shared" si="11"/>
        <v>0</v>
      </c>
      <c r="J52" s="10">
        <v>0</v>
      </c>
    </row>
    <row r="53" spans="1:10" ht="14.15" customHeight="1" x14ac:dyDescent="0.25">
      <c r="A53" s="23" t="s">
        <v>200</v>
      </c>
      <c r="B53" s="31"/>
      <c r="C53" s="32" t="s">
        <v>195</v>
      </c>
      <c r="D53" s="32" t="s">
        <v>196</v>
      </c>
      <c r="E53" s="36" t="s">
        <v>197</v>
      </c>
      <c r="F53" s="32" t="s">
        <v>53</v>
      </c>
      <c r="G53" s="34" t="s">
        <v>198</v>
      </c>
      <c r="H53" s="38">
        <v>1.5</v>
      </c>
      <c r="I53" s="55">
        <f t="shared" si="11"/>
        <v>3</v>
      </c>
      <c r="J53" s="10">
        <v>2</v>
      </c>
    </row>
    <row r="54" spans="1:10" ht="14.15" customHeight="1" x14ac:dyDescent="0.25">
      <c r="A54" s="59" t="s">
        <v>201</v>
      </c>
      <c r="B54" s="48"/>
      <c r="C54" s="50" t="s">
        <v>174</v>
      </c>
      <c r="D54" s="50" t="s">
        <v>199</v>
      </c>
      <c r="E54" s="51" t="s">
        <v>172</v>
      </c>
      <c r="F54" s="50" t="s">
        <v>53</v>
      </c>
      <c r="G54" s="56" t="s">
        <v>173</v>
      </c>
      <c r="H54" s="53">
        <v>1.8</v>
      </c>
      <c r="I54" s="54">
        <f t="shared" si="0"/>
        <v>0</v>
      </c>
      <c r="J54" s="10">
        <v>0</v>
      </c>
    </row>
    <row r="55" spans="1:10" ht="14.15" customHeight="1" x14ac:dyDescent="0.25">
      <c r="A55" s="23" t="s">
        <v>116</v>
      </c>
      <c r="B55" s="31"/>
      <c r="C55" s="40" t="s">
        <v>7</v>
      </c>
      <c r="D55" s="32">
        <v>2967989</v>
      </c>
      <c r="E55" s="36" t="s">
        <v>117</v>
      </c>
      <c r="F55" s="32" t="s">
        <v>53</v>
      </c>
      <c r="G55" s="34" t="s">
        <v>118</v>
      </c>
      <c r="H55" s="38">
        <v>38.6</v>
      </c>
      <c r="I55" s="55">
        <f t="shared" si="0"/>
        <v>38.6</v>
      </c>
      <c r="J55" s="10">
        <v>1</v>
      </c>
    </row>
    <row r="56" spans="1:10" ht="14.15" customHeight="1" x14ac:dyDescent="0.25">
      <c r="A56" s="23" t="s">
        <v>82</v>
      </c>
      <c r="B56" s="31"/>
      <c r="C56" s="32" t="s">
        <v>33</v>
      </c>
      <c r="D56" s="32" t="s">
        <v>83</v>
      </c>
      <c r="E56" s="36" t="s">
        <v>86</v>
      </c>
      <c r="F56" s="32" t="s">
        <v>53</v>
      </c>
      <c r="G56" s="34" t="s">
        <v>84</v>
      </c>
      <c r="H56" s="38">
        <v>8.6999999999999993</v>
      </c>
      <c r="I56" s="55">
        <f>J56*H56</f>
        <v>8.6999999999999993</v>
      </c>
      <c r="J56" s="10">
        <v>1</v>
      </c>
    </row>
    <row r="57" spans="1:10" ht="13.5" customHeight="1" x14ac:dyDescent="0.25">
      <c r="A57" s="17" t="s">
        <v>89</v>
      </c>
      <c r="B57" s="31" t="s">
        <v>6</v>
      </c>
      <c r="C57" s="40" t="s">
        <v>7</v>
      </c>
      <c r="D57" s="32">
        <v>1755736</v>
      </c>
      <c r="E57" s="36" t="s">
        <v>93</v>
      </c>
      <c r="F57" s="32" t="s">
        <v>53</v>
      </c>
      <c r="G57" s="37" t="s">
        <v>113</v>
      </c>
      <c r="H57" s="38">
        <v>0.5</v>
      </c>
      <c r="I57" s="55">
        <f t="shared" si="0"/>
        <v>1</v>
      </c>
      <c r="J57" s="10">
        <v>2</v>
      </c>
    </row>
    <row r="58" spans="1:10" ht="13.5" customHeight="1" x14ac:dyDescent="0.25">
      <c r="A58" s="17" t="s">
        <v>90</v>
      </c>
      <c r="B58" s="31" t="s">
        <v>6</v>
      </c>
      <c r="C58" s="40" t="s">
        <v>7</v>
      </c>
      <c r="D58" s="32">
        <v>1754568</v>
      </c>
      <c r="E58" s="63" t="s">
        <v>96</v>
      </c>
      <c r="F58" s="32" t="s">
        <v>53</v>
      </c>
      <c r="G58" s="37" t="s">
        <v>114</v>
      </c>
      <c r="H58" s="38">
        <v>2.1</v>
      </c>
      <c r="I58" s="55">
        <f t="shared" si="0"/>
        <v>4.2</v>
      </c>
      <c r="J58" s="10">
        <v>2</v>
      </c>
    </row>
    <row r="59" spans="1:10" ht="13.5" customHeight="1" x14ac:dyDescent="0.25">
      <c r="A59" s="60" t="s">
        <v>91</v>
      </c>
      <c r="B59" s="48" t="s">
        <v>6</v>
      </c>
      <c r="C59" s="49" t="s">
        <v>7</v>
      </c>
      <c r="D59" s="50">
        <v>1755752</v>
      </c>
      <c r="E59" s="51" t="s">
        <v>95</v>
      </c>
      <c r="F59" s="50" t="s">
        <v>53</v>
      </c>
      <c r="G59" s="52" t="s">
        <v>115</v>
      </c>
      <c r="H59" s="53">
        <v>1.4</v>
      </c>
      <c r="I59" s="54">
        <f t="shared" si="0"/>
        <v>0</v>
      </c>
      <c r="J59" s="10">
        <v>0</v>
      </c>
    </row>
    <row r="60" spans="1:10" ht="13.5" customHeight="1" x14ac:dyDescent="0.25">
      <c r="A60" s="60" t="s">
        <v>92</v>
      </c>
      <c r="B60" s="48" t="s">
        <v>6</v>
      </c>
      <c r="C60" s="49" t="s">
        <v>7</v>
      </c>
      <c r="D60" s="50">
        <v>1754584</v>
      </c>
      <c r="E60" s="51" t="s">
        <v>94</v>
      </c>
      <c r="F60" s="50" t="s">
        <v>53</v>
      </c>
      <c r="G60" s="52" t="s">
        <v>112</v>
      </c>
      <c r="H60" s="53">
        <v>4.2</v>
      </c>
      <c r="I60" s="54">
        <f t="shared" si="0"/>
        <v>0</v>
      </c>
      <c r="J60" s="10">
        <v>0</v>
      </c>
    </row>
    <row r="61" spans="1:10" ht="13.5" customHeight="1" x14ac:dyDescent="0.25">
      <c r="A61" s="60" t="s">
        <v>52</v>
      </c>
      <c r="B61" s="48" t="s">
        <v>6</v>
      </c>
      <c r="C61" s="49" t="s">
        <v>7</v>
      </c>
      <c r="D61" s="50">
        <v>1803426</v>
      </c>
      <c r="E61" s="51" t="s">
        <v>55</v>
      </c>
      <c r="F61" s="50" t="s">
        <v>53</v>
      </c>
      <c r="G61" s="52" t="s">
        <v>54</v>
      </c>
      <c r="H61" s="38">
        <v>0.6</v>
      </c>
      <c r="I61" s="55">
        <f t="shared" si="0"/>
        <v>0</v>
      </c>
      <c r="J61" s="10">
        <v>0</v>
      </c>
    </row>
    <row r="62" spans="1:10" ht="13.5" customHeight="1" x14ac:dyDescent="0.25">
      <c r="A62" s="60" t="s">
        <v>56</v>
      </c>
      <c r="B62" s="48" t="s">
        <v>6</v>
      </c>
      <c r="C62" s="49" t="s">
        <v>7</v>
      </c>
      <c r="D62" s="50">
        <v>1745894</v>
      </c>
      <c r="E62" s="51" t="s">
        <v>58</v>
      </c>
      <c r="F62" s="50" t="s">
        <v>53</v>
      </c>
      <c r="G62" s="52" t="s">
        <v>57</v>
      </c>
      <c r="H62" s="38">
        <v>1.7</v>
      </c>
      <c r="I62" s="55">
        <f t="shared" si="0"/>
        <v>0</v>
      </c>
      <c r="J62" s="10">
        <v>0</v>
      </c>
    </row>
    <row r="63" spans="1:10" ht="13.5" customHeight="1" x14ac:dyDescent="0.25">
      <c r="A63" s="17" t="s">
        <v>59</v>
      </c>
      <c r="B63" s="31" t="s">
        <v>6</v>
      </c>
      <c r="C63" s="40" t="s">
        <v>7</v>
      </c>
      <c r="D63" s="32">
        <v>1803439</v>
      </c>
      <c r="E63" s="36" t="s">
        <v>175</v>
      </c>
      <c r="F63" s="32" t="s">
        <v>53</v>
      </c>
      <c r="G63" s="37" t="s">
        <v>178</v>
      </c>
      <c r="H63" s="38">
        <v>0.9</v>
      </c>
      <c r="I63" s="55">
        <f t="shared" si="0"/>
        <v>0.9</v>
      </c>
      <c r="J63" s="10">
        <v>1</v>
      </c>
    </row>
    <row r="64" spans="1:10" ht="13.5" customHeight="1" x14ac:dyDescent="0.25">
      <c r="A64" s="17" t="s">
        <v>60</v>
      </c>
      <c r="B64" s="31" t="s">
        <v>6</v>
      </c>
      <c r="C64" s="40" t="s">
        <v>7</v>
      </c>
      <c r="D64" s="32">
        <v>1745904</v>
      </c>
      <c r="E64" s="36" t="s">
        <v>176</v>
      </c>
      <c r="F64" s="32" t="s">
        <v>53</v>
      </c>
      <c r="G64" s="37" t="s">
        <v>177</v>
      </c>
      <c r="H64" s="38">
        <v>2.5</v>
      </c>
      <c r="I64" s="55">
        <f t="shared" si="0"/>
        <v>2.5</v>
      </c>
      <c r="J64" s="10">
        <v>1</v>
      </c>
    </row>
    <row r="65" spans="1:10" ht="13.5" customHeight="1" x14ac:dyDescent="0.25">
      <c r="A65" s="17" t="s">
        <v>59</v>
      </c>
      <c r="B65" s="31" t="s">
        <v>6</v>
      </c>
      <c r="C65" s="40" t="s">
        <v>7</v>
      </c>
      <c r="D65" s="32">
        <v>1803442</v>
      </c>
      <c r="E65" s="36" t="s">
        <v>62</v>
      </c>
      <c r="F65" s="32" t="s">
        <v>53</v>
      </c>
      <c r="G65" s="37" t="s">
        <v>61</v>
      </c>
      <c r="H65" s="38">
        <v>1.2</v>
      </c>
      <c r="I65" s="55">
        <f t="shared" si="0"/>
        <v>3.5999999999999996</v>
      </c>
      <c r="J65" s="10">
        <v>3</v>
      </c>
    </row>
    <row r="66" spans="1:10" ht="13.5" customHeight="1" x14ac:dyDescent="0.25">
      <c r="A66" s="17" t="s">
        <v>60</v>
      </c>
      <c r="B66" s="31" t="s">
        <v>6</v>
      </c>
      <c r="C66" s="40" t="s">
        <v>7</v>
      </c>
      <c r="D66" s="32">
        <v>1745917</v>
      </c>
      <c r="E66" s="36" t="s">
        <v>63</v>
      </c>
      <c r="F66" s="32" t="s">
        <v>53</v>
      </c>
      <c r="G66" s="37" t="s">
        <v>64</v>
      </c>
      <c r="H66" s="38">
        <v>3.4</v>
      </c>
      <c r="I66" s="55">
        <f t="shared" si="0"/>
        <v>10.199999999999999</v>
      </c>
      <c r="J66" s="10">
        <v>3</v>
      </c>
    </row>
    <row r="67" spans="1:10" ht="13.5" customHeight="1" x14ac:dyDescent="0.25">
      <c r="A67" s="17" t="s">
        <v>65</v>
      </c>
      <c r="B67" s="31" t="s">
        <v>6</v>
      </c>
      <c r="C67" s="40" t="s">
        <v>7</v>
      </c>
      <c r="D67" s="32">
        <v>1803468</v>
      </c>
      <c r="E67" s="63" t="s">
        <v>67</v>
      </c>
      <c r="F67" s="32" t="s">
        <v>53</v>
      </c>
      <c r="G67" s="37" t="s">
        <v>70</v>
      </c>
      <c r="H67" s="38">
        <v>1.8</v>
      </c>
      <c r="I67" s="55">
        <f t="shared" si="0"/>
        <v>5.4</v>
      </c>
      <c r="J67" s="10">
        <v>3</v>
      </c>
    </row>
    <row r="68" spans="1:10" ht="13.5" customHeight="1" x14ac:dyDescent="0.25">
      <c r="A68" s="17" t="s">
        <v>66</v>
      </c>
      <c r="B68" s="31" t="s">
        <v>6</v>
      </c>
      <c r="C68" s="40" t="s">
        <v>7</v>
      </c>
      <c r="D68" s="32">
        <v>1748011</v>
      </c>
      <c r="E68" s="63" t="s">
        <v>68</v>
      </c>
      <c r="F68" s="32" t="s">
        <v>53</v>
      </c>
      <c r="G68" s="37" t="s">
        <v>69</v>
      </c>
      <c r="H68" s="38">
        <v>5.5</v>
      </c>
      <c r="I68" s="55">
        <f t="shared" si="0"/>
        <v>16.5</v>
      </c>
      <c r="J68" s="10">
        <v>3</v>
      </c>
    </row>
    <row r="69" spans="1:10" ht="14.15" customHeight="1" x14ac:dyDescent="0.25">
      <c r="A69" s="27"/>
      <c r="B69" s="28"/>
      <c r="G69" s="29"/>
      <c r="H69" s="25"/>
      <c r="I69" s="25">
        <f>SUM(I9:I68)</f>
        <v>237.6999999999999</v>
      </c>
      <c r="J69" s="26" t="s">
        <v>14</v>
      </c>
    </row>
    <row r="70" spans="1:10" ht="14.15" customHeight="1" x14ac:dyDescent="0.25">
      <c r="A70" s="6"/>
      <c r="B70" s="7"/>
      <c r="C70" s="7"/>
      <c r="D70" s="7"/>
      <c r="E70" s="7"/>
      <c r="F70" s="7"/>
      <c r="G70" s="7"/>
      <c r="H70" s="22"/>
      <c r="I70" s="22"/>
      <c r="J70" s="18"/>
    </row>
  </sheetData>
  <autoFilter ref="A5:J70" xr:uid="{00000000-0001-0000-0000-000000000000}"/>
  <mergeCells count="12">
    <mergeCell ref="A2:K2"/>
    <mergeCell ref="A5:A6"/>
    <mergeCell ref="D5:D6"/>
    <mergeCell ref="E5:E6"/>
    <mergeCell ref="K5:K6"/>
    <mergeCell ref="J5:J6"/>
    <mergeCell ref="B5:B6"/>
    <mergeCell ref="C5:C6"/>
    <mergeCell ref="I5:I6"/>
    <mergeCell ref="H5:H6"/>
    <mergeCell ref="G5:G6"/>
    <mergeCell ref="F5:F6"/>
  </mergeCells>
  <phoneticPr fontId="0" type="noConversion"/>
  <conditionalFormatting sqref="J9:J68">
    <cfRule type="cellIs" dxfId="1" priority="1" operator="equal">
      <formula>0</formula>
    </cfRule>
    <cfRule type="cellIs" dxfId="0" priority="2" operator="notEqual">
      <formula>0</formula>
    </cfRule>
  </conditionalFormatting>
  <pageMargins left="0.59055118110236227" right="0.59055118110236227" top="0.78740157480314965" bottom="0.78740157480314965" header="0.51181102362204722" footer="0.51181102362204722"/>
  <pageSetup paperSize="9" scale="50" fitToHeight="2" orientation="landscape" r:id="rId1"/>
  <headerFooter>
    <oddHeader>&amp;LDietschi Markus&amp;CProjekt:  Automatische Tosteuerung Hühnerstall  [HUEST-V3]&amp;R&amp;D</oddHeader>
    <oddFooter>&amp;C&amp;Z&amp;F&amp;RSeite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Stückliste</vt:lpstr>
      <vt:lpstr>_A100000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Markus Dietschi</cp:lastModifiedBy>
  <cp:lastPrinted>2026-06-04T10:54:17Z</cp:lastPrinted>
  <dcterms:created xsi:type="dcterms:W3CDTF">1996-10-17T05:27:31Z</dcterms:created>
  <dcterms:modified xsi:type="dcterms:W3CDTF">2026-10-10T20:50:09Z</dcterms:modified>
</cp:coreProperties>
</file>